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68E3D40-0187-4E90-A42E-903D3A142BF9}" xr6:coauthVersionLast="47" xr6:coauthVersionMax="47" xr10:uidLastSave="{00000000-0000-0000-0000-000000000000}"/>
  <bookViews>
    <workbookView xWindow="-120" yWindow="-120" windowWidth="20730" windowHeight="11160" xr2:uid="{628CF870-670D-4710-AB54-F70A748AF868}"/>
  </bookViews>
  <sheets>
    <sheet name="Supa_BOM(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<sst xmlns="http://schemas.openxmlformats.org/spreadsheetml/2006/main" count="47" uniqueCount="47">
  <si>
    <t>item</t>
  </si>
  <si>
    <t>URL</t>
  </si>
  <si>
    <t>quantity</t>
  </si>
  <si>
    <t>cherry-mx style switches</t>
  </si>
  <si>
    <t>330 ohm resistor</t>
  </si>
  <si>
    <t>Nice!Nano v2</t>
  </si>
  <si>
    <t>EC11 rotary encoder</t>
  </si>
  <si>
    <t>TPO4056</t>
  </si>
  <si>
    <t>LiPo 10000mah 3.7v (battery)</t>
  </si>
  <si>
    <t>OLED 0.91"</t>
  </si>
  <si>
    <t>SS11D10 slide switch</t>
  </si>
  <si>
    <t>usb-a dongle (wireless)</t>
  </si>
  <si>
    <t>SK6812MINI-E (RGB-LED)</t>
  </si>
  <si>
    <t>4.7K ohm resistor (THT)</t>
  </si>
  <si>
    <t>820K ohm resistor (THT)</t>
  </si>
  <si>
    <t>2 Mohm resistor (THT)</t>
  </si>
  <si>
    <t>470 uf capacitor (THT)</t>
  </si>
  <si>
    <t>MT3608 DC to DC</t>
  </si>
  <si>
    <t>price*(total) USD</t>
  </si>
  <si>
    <t>https://www.ebay.co.uk/itm/405070463792?chn=ps&amp;_ul=GB&amp;mkevt=1&amp;mkcid=28&amp;google_free_listing_action=view_item</t>
  </si>
  <si>
    <t>https://www.ebay.co.uk/itm/113261494197?var=413549335980</t>
  </si>
  <si>
    <t>https://shorturl.at/Vc0Sg</t>
  </si>
  <si>
    <t>https://shorturl.at/1174X</t>
  </si>
  <si>
    <t>https://shorturl.at/GAQIp</t>
  </si>
  <si>
    <t>https://shorturl.at/wlaR4</t>
  </si>
  <si>
    <t>https://tinyurl.com/52ezaaav</t>
  </si>
  <si>
    <t>https://www.rapidonline.com/st-1n5817-schottky-diode-20v-1a-do41-47-2564</t>
  </si>
  <si>
    <t>Diodes (1N5817)</t>
  </si>
  <si>
    <t>https://www.rapidonline.com/panasonic-eca1vm471-470uf-20-35v-85-c-radial-aluminium-electrolytic-11-2172</t>
  </si>
  <si>
    <t>https://tinyurl.com/3mh5jma3</t>
  </si>
  <si>
    <t>https://tinyurl.com/2bpn6xam</t>
  </si>
  <si>
    <t>https://tinyurl.com/4xysbk3m</t>
  </si>
  <si>
    <t>https://tinyurl.com/4fxpa99j</t>
  </si>
  <si>
    <t>kalih hotswap sockets</t>
  </si>
  <si>
    <t>O-rings</t>
  </si>
  <si>
    <t>keycap foam pads</t>
  </si>
  <si>
    <t>foam gaskets</t>
  </si>
  <si>
    <t>https://tinyurl.com/4kc52tvw</t>
  </si>
  <si>
    <t>https://tinyurl.com/5hd465du</t>
  </si>
  <si>
    <t>https://tinyurl.com/y44esxp9</t>
  </si>
  <si>
    <t>https://tinyurl.com/46ueewwa</t>
  </si>
  <si>
    <t>total</t>
  </si>
  <si>
    <t>https://tinyurl.com/37m9v9hy</t>
  </si>
  <si>
    <t>https://tinyurl.com/yc5u3hex</t>
  </si>
  <si>
    <t>https://tinyurl.com/452x8dtk</t>
  </si>
  <si>
    <t>PCB (+ship)</t>
  </si>
  <si>
    <t>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</si>
</sst>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9191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rturl.at/wlaR4" TargetMode="External"/><Relationship Id="rId13" Type="http://schemas.openxmlformats.org/officeDocument/2006/relationships/hyperlink" Target="https://tinyurl.com/2bpn6xam" TargetMode="External"/><Relationship Id="rId18" Type="http://schemas.openxmlformats.org/officeDocument/2006/relationships/hyperlink" Target="https://tinyurl.com/5hd465du" TargetMode="External"/><Relationship Id="rId3" Type="http://schemas.openxmlformats.org/officeDocument/2006/relationships/hyperlink" Target="https://shorturl.at/GAQIp" TargetMode="External"/><Relationship Id="rId7" Type="http://schemas.openxmlformats.org/officeDocument/2006/relationships/hyperlink" Target="https://shorturl.at/1174X" TargetMode="External"/><Relationship Id="rId12" Type="http://schemas.openxmlformats.org/officeDocument/2006/relationships/hyperlink" Target="https://tinyurl.com/3mh5jma3" TargetMode="External"/><Relationship Id="rId17" Type="http://schemas.openxmlformats.org/officeDocument/2006/relationships/hyperlink" Target="https://tinyurl.com/4kc52tvw" TargetMode="External"/><Relationship Id="rId2" Type="http://schemas.openxmlformats.org/officeDocument/2006/relationships/hyperlink" Target="https://tinyurl.com/52ezaaav" TargetMode="External"/><Relationship Id="rId16" Type="http://schemas.openxmlformats.org/officeDocument/2006/relationships/hyperlink" Target="https://tinyurl.com/452x8dtk" TargetMode="External"/><Relationship Id="rId20" Type="http://schemas.openxmlformats.org/officeDocument/2006/relationships/hyperlink" Target="https://tinyurl.com/46ueewwa" TargetMode="External"/><Relationship Id="rId1" Type="http://schemas.openxmlformats.org/officeDocument/2006/relationships/hyperlink" Target="https://www.ebay.co.uk/itm/405070463792?chn=ps&amp;_ul=GB&amp;mkevt=1&amp;mkcid=28&amp;google_free_listing_action=view_item" TargetMode="External"/><Relationship Id="rId6" Type="http://schemas.openxmlformats.org/officeDocument/2006/relationships/hyperlink" Target="https://shorturl.at/Vc0Sg" TargetMode="External"/><Relationship Id="rId11" Type="http://schemas.openxmlformats.org/officeDocument/2006/relationships/hyperlink" Target="https://tinyurl.com/37m9v9hy" TargetMode="External"/><Relationship Id="rId5" Type="http://schemas.openxmlformats.org/officeDocument/2006/relationships/hyperlink" Target="https://tinyurl.com/yc5u3hex" TargetMode="External"/><Relationship Id="rId15" Type="http://schemas.openxmlformats.org/officeDocument/2006/relationships/hyperlink" Target="https://tinyurl.com/4fxpa99j" TargetMode="External"/><Relationship Id="rId10" Type="http://schemas.openxmlformats.org/officeDocument/2006/relationships/hyperlink" Target="https://www.rapidonline.com/panasonic-eca1vm471-470uf-20-35v-85-c-radial-aluminium-electrolytic-11-2172" TargetMode="External"/><Relationship Id="rId19" Type="http://schemas.openxmlformats.org/officeDocument/2006/relationships/hyperlink" Target="https://tinyurl.com/y44esxp9" TargetMode="External"/><Relationship Id="rId4" Type="http://schemas.openxmlformats.org/officeDocument/2006/relationships/hyperlink" Target="https://www.ebay.co.uk/itm/113261494197?var=413549335980" TargetMode="External"/><Relationship Id="rId9" Type="http://schemas.openxmlformats.org/officeDocument/2006/relationships/hyperlink" Target="https://www.rapidonline.com/st-1n5817-schottky-diode-20v-1a-do41-47-2564" TargetMode="External"/><Relationship Id="rId14" Type="http://schemas.openxmlformats.org/officeDocument/2006/relationships/hyperlink" Target="https://tinyurl.com/4xysbk3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B6D0-5D33-4094-B6F7-93D1C5ACFECF}">
  <dimension ref="A1:G23"/>
  <sheetViews>
    <sheetView tabSelected="1" topLeftCell="A4" workbookViewId="0">
      <selection activeCell="F18" sqref="F18"/>
    </sheetView>
  </sheetViews>
  <sheetFormatPr defaultRowHeight="15" x14ac:dyDescent="0.25"/>
  <cols>
    <col min="1" max="1" width="25.5703125" customWidth="1"/>
    <col min="2" max="2" width="32.28515625" customWidth="1"/>
    <col min="3" max="3" width="16.28515625" customWidth="1"/>
    <col min="4" max="4" width="15.85546875" customWidth="1"/>
    <col min="6" max="6" width="11.5703125" customWidth="1"/>
  </cols>
  <sheetData>
    <row r="1" spans="1:7" x14ac:dyDescent="0.25">
      <c r="B1" s="1"/>
      <c r="C1" s="1"/>
    </row>
    <row r="2" spans="1:7" x14ac:dyDescent="0.25">
      <c r="A2" t="s">
        <v>0</v>
      </c>
      <c r="B2" t="s">
        <v>1</v>
      </c>
      <c r="C2" t="s">
        <v>2</v>
      </c>
      <c r="D2" t="s">
        <v>18</v>
      </c>
    </row>
    <row r="3" spans="1:7" x14ac:dyDescent="0.25">
      <c r="A3" t="s">
        <v>3</v>
      </c>
      <c r="B3" s="3" t="s">
        <v>40</v>
      </c>
      <c r="C3">
        <v>82</v>
      </c>
      <c r="D3">
        <v>33.74</v>
      </c>
    </row>
    <row r="4" spans="1:7" x14ac:dyDescent="0.25">
      <c r="A4" t="s">
        <v>27</v>
      </c>
      <c r="B4" s="3" t="s">
        <v>26</v>
      </c>
      <c r="C4">
        <v>82</v>
      </c>
      <c r="D4">
        <v>16.16</v>
      </c>
      <c r="F4" t="s">
        <v>45</v>
      </c>
      <c r="G4">
        <v>33.229999999999997</v>
      </c>
    </row>
    <row r="5" spans="1:7" x14ac:dyDescent="0.25">
      <c r="A5" t="s">
        <v>4</v>
      </c>
      <c r="B5" s="3" t="s">
        <v>29</v>
      </c>
      <c r="C5">
        <v>1</v>
      </c>
      <c r="D5">
        <v>2.96</v>
      </c>
      <c r="F5" t="s">
        <v>41</v>
      </c>
      <c r="G5">
        <f>SUM(D3:D19)+G4</f>
        <v>145.25</v>
      </c>
    </row>
    <row r="6" spans="1:7" x14ac:dyDescent="0.25">
      <c r="A6" t="s">
        <v>13</v>
      </c>
      <c r="B6" s="3" t="s">
        <v>30</v>
      </c>
      <c r="C6">
        <v>4</v>
      </c>
      <c r="D6">
        <v>6.06</v>
      </c>
    </row>
    <row r="7" spans="1:7" x14ac:dyDescent="0.25">
      <c r="A7" t="s">
        <v>14</v>
      </c>
      <c r="B7" s="3" t="s">
        <v>31</v>
      </c>
      <c r="C7">
        <v>1</v>
      </c>
      <c r="D7">
        <v>0.02</v>
      </c>
    </row>
    <row r="8" spans="1:7" x14ac:dyDescent="0.25">
      <c r="A8" t="s">
        <v>15</v>
      </c>
      <c r="B8" s="3" t="s">
        <v>32</v>
      </c>
      <c r="C8">
        <v>1</v>
      </c>
      <c r="D8">
        <v>2.0699999999999998</v>
      </c>
    </row>
    <row r="9" spans="1:7" x14ac:dyDescent="0.25">
      <c r="A9" t="s">
        <v>5</v>
      </c>
      <c r="B9" s="3" t="s">
        <v>24</v>
      </c>
      <c r="C9">
        <v>1</v>
      </c>
      <c r="D9">
        <v>8.48</v>
      </c>
    </row>
    <row r="10" spans="1:7" x14ac:dyDescent="0.25">
      <c r="A10" t="s">
        <v>6</v>
      </c>
      <c r="B10" s="3" t="s">
        <v>20</v>
      </c>
      <c r="C10">
        <v>1</v>
      </c>
      <c r="D10">
        <v>4.9400000000000004</v>
      </c>
    </row>
    <row r="11" spans="1:7" x14ac:dyDescent="0.25">
      <c r="A11" t="s">
        <v>7</v>
      </c>
      <c r="B11" s="3" t="s">
        <v>19</v>
      </c>
      <c r="C11">
        <v>1</v>
      </c>
      <c r="D11">
        <v>2.42</v>
      </c>
    </row>
    <row r="12" spans="1:7" x14ac:dyDescent="0.25">
      <c r="A12" t="s">
        <v>8</v>
      </c>
      <c r="B12" s="3" t="s">
        <v>43</v>
      </c>
      <c r="C12">
        <v>1</v>
      </c>
      <c r="D12">
        <v>8.36</v>
      </c>
    </row>
    <row r="13" spans="1:7" x14ac:dyDescent="0.25">
      <c r="A13" t="s">
        <v>9</v>
      </c>
      <c r="B13" s="3" t="s">
        <v>21</v>
      </c>
      <c r="C13">
        <v>1</v>
      </c>
      <c r="D13">
        <v>5.25</v>
      </c>
    </row>
    <row r="14" spans="1:7" x14ac:dyDescent="0.25">
      <c r="A14" s="2" t="s">
        <v>10</v>
      </c>
      <c r="B14" s="3" t="s">
        <v>22</v>
      </c>
      <c r="C14">
        <v>1</v>
      </c>
      <c r="D14">
        <v>2.06</v>
      </c>
    </row>
    <row r="15" spans="1:7" x14ac:dyDescent="0.25">
      <c r="A15" t="s">
        <v>11</v>
      </c>
      <c r="B15" s="3" t="s">
        <v>23</v>
      </c>
      <c r="C15">
        <v>1</v>
      </c>
      <c r="D15">
        <v>8.07</v>
      </c>
    </row>
    <row r="16" spans="1:7" x14ac:dyDescent="0.25">
      <c r="A16" t="s">
        <v>12</v>
      </c>
      <c r="B16" s="3" t="s">
        <v>42</v>
      </c>
      <c r="C16">
        <v>62</v>
      </c>
      <c r="D16">
        <v>4.46</v>
      </c>
    </row>
    <row r="17" spans="1:4" x14ac:dyDescent="0.25">
      <c r="A17" t="s">
        <v>16</v>
      </c>
      <c r="B17" s="3" t="s">
        <v>28</v>
      </c>
      <c r="C17">
        <v>1</v>
      </c>
      <c r="D17">
        <v>0.44</v>
      </c>
    </row>
    <row r="18" spans="1:4" x14ac:dyDescent="0.25">
      <c r="A18" t="s">
        <v>17</v>
      </c>
      <c r="B18" s="3" t="s">
        <v>25</v>
      </c>
      <c r="C18">
        <v>1</v>
      </c>
      <c r="D18">
        <v>1.59</v>
      </c>
    </row>
    <row r="19" spans="1:4" x14ac:dyDescent="0.25">
      <c r="A19" t="s">
        <v>33</v>
      </c>
      <c r="B19" s="3" t="s">
        <v>44</v>
      </c>
      <c r="C19">
        <v>82</v>
      </c>
      <c r="D19">
        <v>4.9400000000000004</v>
      </c>
    </row>
    <row r="20" spans="1:4" x14ac:dyDescent="0.25">
      <c r="A20" t="s">
        <v>46</v>
      </c>
    </row>
    <row r="21" spans="1:4" x14ac:dyDescent="0.25">
      <c r="A21" t="s">
        <v>34</v>
      </c>
      <c r="B21" s="3" t="s">
        <v>39</v>
      </c>
      <c r="C21">
        <v>82</v>
      </c>
      <c r="D21">
        <v>5.38</v>
      </c>
    </row>
    <row r="22" spans="1:4" x14ac:dyDescent="0.25">
      <c r="A22" t="s">
        <v>35</v>
      </c>
      <c r="B22" s="3" t="s">
        <v>37</v>
      </c>
      <c r="C22">
        <v>82</v>
      </c>
      <c r="D22">
        <v>9.94</v>
      </c>
    </row>
    <row r="23" spans="1:4" x14ac:dyDescent="0.25">
      <c r="A23" t="s">
        <v>36</v>
      </c>
      <c r="B23" s="3" t="s">
        <v>38</v>
      </c>
      <c r="C23">
        <v>82</v>
      </c>
      <c r="D23">
        <v>6.48</v>
      </c>
    </row>
  </sheetData>
  <mergeCells count="1">
    <mergeCell ref="B1:C1"/>
  </mergeCells>
  <hyperlinks>
    <hyperlink ref="B11" r:id="rId1" xr:uid="{4220FA5D-746A-432C-8DED-05507F7ADD6E}"/>
    <hyperlink ref="B18" r:id="rId2" xr:uid="{CABADAE8-5CCE-4815-B99C-2CADD7339487}"/>
    <hyperlink ref="B15" r:id="rId3" xr:uid="{6E9294F5-EBDF-48E5-98B8-7828D81AD42F}"/>
    <hyperlink ref="B10" r:id="rId4" xr:uid="{FAC09ECA-796A-4A8A-8FD9-9F8D3977DAA6}"/>
    <hyperlink ref="B12" r:id="rId5" xr:uid="{1E00A8F7-849A-4958-BA9E-D0B8A5F16A72}"/>
    <hyperlink ref="B13" r:id="rId6" xr:uid="{93644A7E-A83F-4F9C-B5F4-D4DAA6D19E0F}"/>
    <hyperlink ref="B14" r:id="rId7" xr:uid="{E02A89A4-466B-46C1-84D3-035D7B14CF6C}"/>
    <hyperlink ref="B9" r:id="rId8" xr:uid="{4CEACEDE-CCE0-4AD1-BCDF-68E284C6A467}"/>
    <hyperlink ref="B4" r:id="rId9" xr:uid="{FD4F0A38-A0A4-4BA4-BDA6-AE34A49F36A7}"/>
    <hyperlink ref="B17" r:id="rId10" xr:uid="{F63BF822-F53C-4D5E-A4EF-FF1B8B97F3D1}"/>
    <hyperlink ref="B16" r:id="rId11" xr:uid="{47411DA5-F2B3-45F6-AD66-954BBB95C147}"/>
    <hyperlink ref="B5" r:id="rId12" xr:uid="{586CB51D-D9DE-4056-AAD5-F43E835FC681}"/>
    <hyperlink ref="B6" r:id="rId13" xr:uid="{03AD163E-90E1-414F-8E5F-1DE2D532347E}"/>
    <hyperlink ref="B7" r:id="rId14" xr:uid="{58F61755-A466-477A-A8AB-8079902A0347}"/>
    <hyperlink ref="B8" r:id="rId15" xr:uid="{F32D40AB-D7CB-4EE2-B0AA-F095CDC9322B}"/>
    <hyperlink ref="B19" r:id="rId16" xr:uid="{02348E6C-3074-4950-9ABE-756830A1DECF}"/>
    <hyperlink ref="B22" r:id="rId17" xr:uid="{93736C56-B40C-48C2-A248-9D51957FED4D}"/>
    <hyperlink ref="B23" r:id="rId18" xr:uid="{F59CD48D-2002-4BD4-B95F-EB67490F20EA}"/>
    <hyperlink ref="B21" r:id="rId19" xr:uid="{3A9E07FA-7355-4D56-9105-CC32F2878302}"/>
    <hyperlink ref="B3" r:id="rId20" xr:uid="{6802704C-21F1-41DB-AF7D-404CD35BD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Supa_BOM(1)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 Norayr Gevorgyan</dc:creator>
  <cp:lastModifiedBy>27 Norayr Gevorgyan</cp:lastModifiedBy>
  <dcterms:created xsi:type="dcterms:W3CDTF">2026-06-02T13:25:42Z</dcterms:created>
  <dcterms:modified xsi:type="dcterms:W3CDTF">2026-06-02T20:39:55Z</dcterms:modified>
</cp:coreProperties>
</file>